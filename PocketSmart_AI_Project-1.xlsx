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 Planner" sheetId="1" state="visible" r:id="rId3"/>
    <sheet name="Test Cases" sheetId="2" state="visible" r:id="rId4"/>
    <sheet name="Project Timeline" sheetId="3" state="visible" r:id="rId5"/>
    <sheet name="Tech Stack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<sst xmlns="http://schemas.openxmlformats.org/spreadsheetml/2006/main" count="200" uniqueCount="157">
  <si>
    <t xml:space="preserve">PocketSmart AI - Budget Allocation Planner</t>
  </si>
  <si>
    <t xml:space="preserve">Legend: blue text on yellow = cells you can edit (budget and % share). Black = formulas. Change a budget and every amount updates.</t>
  </si>
  <si>
    <t xml:space="preserve">1. Home Interior Planner</t>
  </si>
  <si>
    <t xml:space="preserve">Total Budget</t>
  </si>
  <si>
    <t xml:space="preserve">Category</t>
  </si>
  <si>
    <t xml:space="preserve">Share (%)</t>
  </si>
  <si>
    <t xml:space="preserve">Amount (Rs.)</t>
  </si>
  <si>
    <t xml:space="preserve">Suggested Platform</t>
  </si>
  <si>
    <t xml:space="preserve">Lighting</t>
  </si>
  <si>
    <t xml:space="preserve">Amazon / Flipkart</t>
  </si>
  <si>
    <t xml:space="preserve">Fans and Cooling</t>
  </si>
  <si>
    <t xml:space="preserve">Furniture</t>
  </si>
  <si>
    <t xml:space="preserve">IKEA / Pepperfry</t>
  </si>
  <si>
    <t xml:space="preserve">Dining and Kitchen Items</t>
  </si>
  <si>
    <t xml:space="preserve">Amazon / IKEA</t>
  </si>
  <si>
    <t xml:space="preserve">Decor and Curtains</t>
  </si>
  <si>
    <t xml:space="preserve">Contingency</t>
  </si>
  <si>
    <t xml:space="preserve">-</t>
  </si>
  <si>
    <t xml:space="preserve">Total</t>
  </si>
  <si>
    <t xml:space="preserve">Assumption: sample percentage shares chosen for this project. Users can change them; the app's AI suggests shares from the room list.</t>
  </si>
  <si>
    <t xml:space="preserve">2. Party Planner</t>
  </si>
  <si>
    <t xml:space="preserve">Catering and Food</t>
  </si>
  <si>
    <t xml:space="preserve">Swiggy / Zomato</t>
  </si>
  <si>
    <t xml:space="preserve">Venue and Stay</t>
  </si>
  <si>
    <t xml:space="preserve">OYO</t>
  </si>
  <si>
    <t xml:space="preserve">Decoration</t>
  </si>
  <si>
    <t xml:space="preserve">Amazon</t>
  </si>
  <si>
    <t xml:space="preserve">Entertainment</t>
  </si>
  <si>
    <t xml:space="preserve">BookMyShow</t>
  </si>
  <si>
    <t xml:space="preserve">Assumption: sample shares for a mid-size party. Real prices are not fetched; platforms are shown as search links only.</t>
  </si>
  <si>
    <t xml:space="preserve">3. Jewelry Planner</t>
  </si>
  <si>
    <t xml:space="preserve">Necklace / Chain</t>
  </si>
  <si>
    <t xml:space="preserve">Tanishq / Bluestone</t>
  </si>
  <si>
    <t xml:space="preserve">Earrings</t>
  </si>
  <si>
    <t xml:space="preserve">Bangles / Bracelet</t>
  </si>
  <si>
    <t xml:space="preserve">Tanishq / CaratLane</t>
  </si>
  <si>
    <t xml:space="preserve">Rings</t>
  </si>
  <si>
    <t xml:space="preserve">Bluestone / Amazon</t>
  </si>
  <si>
    <t xml:space="preserve">Assumption: sample shares. Outfit colour matching is done by the AI from the uploaded image.</t>
  </si>
  <si>
    <t xml:space="preserve">ID</t>
  </si>
  <si>
    <t xml:space="preserve">Module</t>
  </si>
  <si>
    <t xml:space="preserve">Scenario</t>
  </si>
  <si>
    <t xml:space="preserve">Input</t>
  </si>
  <si>
    <t xml:space="preserve">Expected Result</t>
  </si>
  <si>
    <t xml:space="preserve">Status</t>
  </si>
  <si>
    <t xml:space="preserve">TC01</t>
  </si>
  <si>
    <t xml:space="preserve">Auth</t>
  </si>
  <si>
    <t xml:space="preserve">Register with new email</t>
  </si>
  <si>
    <t xml:space="preserve">Name, email, password</t>
  </si>
  <si>
    <t xml:space="preserve">Account created, redirected to login</t>
  </si>
  <si>
    <t xml:space="preserve">Pending</t>
  </si>
  <si>
    <t xml:space="preserve">TC02</t>
  </si>
  <si>
    <t xml:space="preserve">Register with existing email</t>
  </si>
  <si>
    <t xml:space="preserve">Same email again</t>
  </si>
  <si>
    <t xml:space="preserve">Error: email already registered</t>
  </si>
  <si>
    <t xml:space="preserve">TC03</t>
  </si>
  <si>
    <t xml:space="preserve">Login with valid credentials</t>
  </si>
  <si>
    <t xml:space="preserve">Correct email + password</t>
  </si>
  <si>
    <t xml:space="preserve">Token issued, dashboard opens</t>
  </si>
  <si>
    <t xml:space="preserve">TC04</t>
  </si>
  <si>
    <t xml:space="preserve">Login with wrong password</t>
  </si>
  <si>
    <t xml:space="preserve">Wrong password</t>
  </si>
  <si>
    <t xml:space="preserve">Error message, no session</t>
  </si>
  <si>
    <t xml:space="preserve">TC05</t>
  </si>
  <si>
    <t xml:space="preserve">Home</t>
  </si>
  <si>
    <t xml:space="preserve">Plan 2 rooms within budget</t>
  </si>
  <si>
    <t xml:space="preserve">Budget 100000, Hall + Bedroom</t>
  </si>
  <si>
    <t xml:space="preserve">Budget split across items, total &lt;= budget</t>
  </si>
  <si>
    <t xml:space="preserve">TC06</t>
  </si>
  <si>
    <t xml:space="preserve">Budget too low</t>
  </si>
  <si>
    <t xml:space="preserve">Budget 500</t>
  </si>
  <si>
    <t xml:space="preserve">Friendly message asking for higher budget</t>
  </si>
  <si>
    <t xml:space="preserve">TC07</t>
  </si>
  <si>
    <t xml:space="preserve">Party</t>
  </si>
  <si>
    <t xml:space="preserve">Plan party for 50 guests</t>
  </si>
  <si>
    <t xml:space="preserve">Budget 50000, 50 guests</t>
  </si>
  <si>
    <t xml:space="preserve">Split across catering, venue, decor, entertainment</t>
  </si>
  <si>
    <t xml:space="preserve">TC08</t>
  </si>
  <si>
    <t xml:space="preserve">Empty guest count</t>
  </si>
  <si>
    <t xml:space="preserve">Guests left blank</t>
  </si>
  <si>
    <t xml:space="preserve">Validation error shown</t>
  </si>
  <si>
    <t xml:space="preserve">TC09</t>
  </si>
  <si>
    <t xml:space="preserve">Jewelry</t>
  </si>
  <si>
    <t xml:space="preserve">Text-only request</t>
  </si>
  <si>
    <t xml:space="preserve">Budget 30000, occasion: wedding</t>
  </si>
  <si>
    <t xml:space="preserve">Jewelry list with category budgets</t>
  </si>
  <si>
    <t xml:space="preserve">TC10</t>
  </si>
  <si>
    <t xml:space="preserve">Outfit image upload</t>
  </si>
  <si>
    <t xml:space="preserve">JPG of a saree</t>
  </si>
  <si>
    <t xml:space="preserve">Colour-matched jewelry suggestions</t>
  </si>
  <si>
    <t xml:space="preserve">TC11</t>
  </si>
  <si>
    <t xml:space="preserve">Unsupported file type</t>
  </si>
  <si>
    <t xml:space="preserve">PDF uploaded as image</t>
  </si>
  <si>
    <t xml:space="preserve">Error: only image files allowed</t>
  </si>
  <si>
    <t xml:space="preserve">TC12</t>
  </si>
  <si>
    <t xml:space="preserve">History</t>
  </si>
  <si>
    <t xml:space="preserve">View past recommendations</t>
  </si>
  <si>
    <t xml:space="preserve">Logged-in user</t>
  </si>
  <si>
    <t xml:space="preserve">List of earlier results, newest first</t>
  </si>
  <si>
    <t xml:space="preserve">TC13</t>
  </si>
  <si>
    <t xml:space="preserve">AI</t>
  </si>
  <si>
    <t xml:space="preserve">Gemini API key missing</t>
  </si>
  <si>
    <t xml:space="preserve">No key in .env</t>
  </si>
  <si>
    <t xml:space="preserve">Fallback recommendations still shown</t>
  </si>
  <si>
    <t xml:space="preserve">TC14</t>
  </si>
  <si>
    <t xml:space="preserve">Security</t>
  </si>
  <si>
    <t xml:space="preserve">Open history without login</t>
  </si>
  <si>
    <t xml:space="preserve">Direct URL</t>
  </si>
  <si>
    <t xml:space="preserve">Redirect to login page</t>
  </si>
  <si>
    <t xml:space="preserve">Passed</t>
  </si>
  <si>
    <t xml:space="preserve">Pass %</t>
  </si>
  <si>
    <t xml:space="preserve">Note: Status column is a template - set each row to Pass or Fail after you run the test on your own system.</t>
  </si>
  <si>
    <t xml:space="preserve">Project start week</t>
  </si>
  <si>
    <t xml:space="preserve">Phase</t>
  </si>
  <si>
    <t xml:space="preserve">Task</t>
  </si>
  <si>
    <t xml:space="preserve">Start Week</t>
  </si>
  <si>
    <t xml:space="preserve">Duration (weeks)</t>
  </si>
  <si>
    <t xml:space="preserve">End Week</t>
  </si>
  <si>
    <t xml:space="preserve">Planning</t>
  </si>
  <si>
    <t xml:space="preserve">Requirement analysis and problem study</t>
  </si>
  <si>
    <t xml:space="preserve">Design</t>
  </si>
  <si>
    <t xml:space="preserve">UI wireframes, database and API design</t>
  </si>
  <si>
    <t xml:space="preserve">Development</t>
  </si>
  <si>
    <t xml:space="preserve">Authentication (register, login, JWT)</t>
  </si>
  <si>
    <t xml:space="preserve">Home Interior planner module</t>
  </si>
  <si>
    <t xml:space="preserve">Party planner module</t>
  </si>
  <si>
    <t xml:space="preserve">Jewelry planner with image upload</t>
  </si>
  <si>
    <t xml:space="preserve">Integration</t>
  </si>
  <si>
    <t xml:space="preserve">Gemini AI + fallback engine + history</t>
  </si>
  <si>
    <t xml:space="preserve">Testing</t>
  </si>
  <si>
    <t xml:space="preserve">Test cases, bug fixing</t>
  </si>
  <si>
    <t xml:space="preserve">Deployment</t>
  </si>
  <si>
    <t xml:space="preserve">Deploy and prepare report / PPT</t>
  </si>
  <si>
    <t xml:space="preserve">Total weeks</t>
  </si>
  <si>
    <t xml:space="preserve">Assumption: 10-week plan is a sample schedule; edit durations (blue) to match your program.</t>
  </si>
  <si>
    <t xml:space="preserve">Layer</t>
  </si>
  <si>
    <t xml:space="preserve">Technology</t>
  </si>
  <si>
    <t xml:space="preserve">Purpose</t>
  </si>
  <si>
    <t xml:space="preserve">Backend</t>
  </si>
  <si>
    <t xml:space="preserve">Python, FastAPI, Uvicorn</t>
  </si>
  <si>
    <t xml:space="preserve">REST API and server-side logic</t>
  </si>
  <si>
    <t xml:space="preserve">Google Gemini API</t>
  </si>
  <si>
    <t xml:space="preserve">Budget split, recommendations, image understanding</t>
  </si>
  <si>
    <t xml:space="preserve">Templates</t>
  </si>
  <si>
    <t xml:space="preserve">Jinja2, HTML5, CSS3, JavaScript</t>
  </si>
  <si>
    <t xml:space="preserve">Web pages and forms</t>
  </si>
  <si>
    <t xml:space="preserve">Database</t>
  </si>
  <si>
    <t xml:space="preserve">SQLite</t>
  </si>
  <si>
    <t xml:space="preserve">Users and recommendation history</t>
  </si>
  <si>
    <t xml:space="preserve">JWT, hashed passwords</t>
  </si>
  <si>
    <t xml:space="preserve">Login and session protection</t>
  </si>
  <si>
    <t xml:space="preserve">Images</t>
  </si>
  <si>
    <t xml:space="preserve">Pillow</t>
  </si>
  <si>
    <t xml:space="preserve">Outfit image handling</t>
  </si>
  <si>
    <t xml:space="preserve">Fallback</t>
  </si>
  <si>
    <t xml:space="preserve">Rule-based engine</t>
  </si>
  <si>
    <t xml:space="preserve">Works when no API key or network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</si>
</sst>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s. &quot;#,##0;&quot;(Rs. &quot;#,##0\);\-"/>
    <numFmt numFmtId="166" formatCode="0.0%"/>
    <numFmt numFmtId="167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100000</v>
      </c>
    </row>
    <row r="6" customFormat="false" ht="15" hidden="false" customHeight="false" outlineLevel="0" collapsed="false">
      <c r="A6" s="6" t="s">
        <v>4</v>
      </c>
      <c r="B6" s="6" t="s">
        <v>5</v>
      </c>
      <c r="C6" s="6" t="s">
        <v>6</v>
      </c>
      <c r="D6" s="6" t="s">
        <v>7</v>
      </c>
    </row>
    <row r="7" customFormat="false" ht="15" hidden="false" customHeight="false" outlineLevel="0" collapsed="false">
      <c r="A7" s="7" t="s">
        <v>8</v>
      </c>
      <c r="B7" s="8" t="n">
        <v>0.1</v>
      </c>
      <c r="C7" s="9" t="n">
        <f aca="false">$B$5*B7</f>
        <v>10000</v>
      </c>
      <c r="D7" s="7" t="s">
        <v>9</v>
      </c>
    </row>
    <row r="8" customFormat="false" ht="15" hidden="false" customHeight="false" outlineLevel="0" collapsed="false">
      <c r="A8" s="7" t="s">
        <v>10</v>
      </c>
      <c r="B8" s="8" t="n">
        <v>0.1</v>
      </c>
      <c r="C8" s="9" t="n">
        <f aca="false">$B$5*B8</f>
        <v>10000</v>
      </c>
      <c r="D8" s="7" t="s">
        <v>9</v>
      </c>
    </row>
    <row r="9" customFormat="false" ht="15" hidden="false" customHeight="false" outlineLevel="0" collapsed="false">
      <c r="A9" s="7" t="s">
        <v>11</v>
      </c>
      <c r="B9" s="8" t="n">
        <v>0.4</v>
      </c>
      <c r="C9" s="9" t="n">
        <f aca="false">$B$5*B9</f>
        <v>40000</v>
      </c>
      <c r="D9" s="7" t="s">
        <v>12</v>
      </c>
    </row>
    <row r="10" customFormat="false" ht="15" hidden="false" customHeight="false" outlineLevel="0" collapsed="false">
      <c r="A10" s="7" t="s">
        <v>13</v>
      </c>
      <c r="B10" s="8" t="n">
        <v>0.15</v>
      </c>
      <c r="C10" s="9" t="n">
        <f aca="false">$B$5*B10</f>
        <v>15000</v>
      </c>
      <c r="D10" s="7" t="s">
        <v>14</v>
      </c>
    </row>
    <row r="11" customFormat="false" ht="15" hidden="false" customHeight="false" outlineLevel="0" collapsed="false">
      <c r="A11" s="7" t="s">
        <v>15</v>
      </c>
      <c r="B11" s="8" t="n">
        <v>0.15</v>
      </c>
      <c r="C11" s="9" t="n">
        <f aca="false">$B$5*B11</f>
        <v>15000</v>
      </c>
      <c r="D11" s="7" t="s">
        <v>9</v>
      </c>
    </row>
    <row r="12" customFormat="false" ht="15" hidden="false" customHeight="false" outlineLevel="0" collapsed="false">
      <c r="A12" s="7" t="s">
        <v>16</v>
      </c>
      <c r="B12" s="8" t="n">
        <v>0.1</v>
      </c>
      <c r="C12" s="9" t="n">
        <f aca="false">$B$5*B12</f>
        <v>10000</v>
      </c>
      <c r="D12" s="7" t="s">
        <v>17</v>
      </c>
    </row>
    <row r="13" customFormat="false" ht="15" hidden="false" customHeight="false" outlineLevel="0" collapsed="false">
      <c r="A13" s="4" t="s">
        <v>18</v>
      </c>
      <c r="B13" s="10" t="n">
        <f aca="false">SUM(B7:B12)</f>
        <v>1</v>
      </c>
      <c r="C13" s="11" t="n">
        <f aca="false">SUM(C7:C12)</f>
        <v>100000</v>
      </c>
      <c r="D13" s="4" t="str">
        <f aca="false">IF(ROUND(B13,4)=1,"OK - shares add to 100%","CHECK - shares must add to 100%")</f>
        <v>OK - shares add to 100%</v>
      </c>
    </row>
    <row r="14" customFormat="false" ht="15" hidden="false" customHeight="false" outlineLevel="0" collapsed="false">
      <c r="A14" s="12" t="s">
        <v>19</v>
      </c>
    </row>
    <row r="16" customFormat="false" ht="15" hidden="false" customHeight="false" outlineLevel="0" collapsed="false">
      <c r="A16" s="3" t="s">
        <v>20</v>
      </c>
    </row>
    <row r="17" customFormat="false" ht="15" hidden="false" customHeight="false" outlineLevel="0" collapsed="false">
      <c r="A17" s="4" t="s">
        <v>3</v>
      </c>
      <c r="B17" s="5" t="n">
        <v>50000</v>
      </c>
    </row>
    <row r="18" customFormat="false" ht="15" hidden="false" customHeight="false" outlineLevel="0" collapsed="false">
      <c r="A18" s="6" t="s">
        <v>4</v>
      </c>
      <c r="B18" s="6" t="s">
        <v>5</v>
      </c>
      <c r="C18" s="6" t="s">
        <v>6</v>
      </c>
      <c r="D18" s="6" t="s">
        <v>7</v>
      </c>
    </row>
    <row r="19" customFormat="false" ht="15" hidden="false" customHeight="false" outlineLevel="0" collapsed="false">
      <c r="A19" s="7" t="s">
        <v>21</v>
      </c>
      <c r="B19" s="8" t="n">
        <v>0.45</v>
      </c>
      <c r="C19" s="9" t="n">
        <f aca="false">$B$17*B19</f>
        <v>22500</v>
      </c>
      <c r="D19" s="7" t="s">
        <v>22</v>
      </c>
    </row>
    <row r="20" customFormat="false" ht="15" hidden="false" customHeight="false" outlineLevel="0" collapsed="false">
      <c r="A20" s="7" t="s">
        <v>23</v>
      </c>
      <c r="B20" s="8" t="n">
        <v>0.25</v>
      </c>
      <c r="C20" s="9" t="n">
        <f aca="false">$B$17*B20</f>
        <v>12500</v>
      </c>
      <c r="D20" s="7" t="s">
        <v>24</v>
      </c>
    </row>
    <row r="21" customFormat="false" ht="15" hidden="false" customHeight="false" outlineLevel="0" collapsed="false">
      <c r="A21" s="7" t="s">
        <v>25</v>
      </c>
      <c r="B21" s="8" t="n">
        <v>0.15</v>
      </c>
      <c r="C21" s="9" t="n">
        <f aca="false">$B$17*B21</f>
        <v>7500</v>
      </c>
      <c r="D21" s="7" t="s">
        <v>26</v>
      </c>
    </row>
    <row r="22" customFormat="false" ht="15" hidden="false" customHeight="false" outlineLevel="0" collapsed="false">
      <c r="A22" s="7" t="s">
        <v>27</v>
      </c>
      <c r="B22" s="8" t="n">
        <v>0.1</v>
      </c>
      <c r="C22" s="9" t="n">
        <f aca="false">$B$17*B22</f>
        <v>5000</v>
      </c>
      <c r="D22" s="7" t="s">
        <v>28</v>
      </c>
    </row>
    <row r="23" customFormat="false" ht="15" hidden="false" customHeight="false" outlineLevel="0" collapsed="false">
      <c r="A23" s="7" t="s">
        <v>16</v>
      </c>
      <c r="B23" s="8" t="n">
        <v>0.05</v>
      </c>
      <c r="C23" s="9" t="n">
        <f aca="false">$B$17*B23</f>
        <v>2500</v>
      </c>
      <c r="D23" s="7" t="s">
        <v>17</v>
      </c>
    </row>
    <row r="24" customFormat="false" ht="15" hidden="false" customHeight="false" outlineLevel="0" collapsed="false">
      <c r="A24" s="4" t="s">
        <v>18</v>
      </c>
      <c r="B24" s="10" t="n">
        <f aca="false">SUM(B19:B23)</f>
        <v>1</v>
      </c>
      <c r="C24" s="11" t="n">
        <f aca="false">SUM(C19:C23)</f>
        <v>50000</v>
      </c>
      <c r="D24" s="4" t="str">
        <f aca="false">IF(ROUND(B24,4)=1,"OK - shares add to 100%","CHECK - shares must add to 100%")</f>
        <v>OK - shares add to 100%</v>
      </c>
    </row>
    <row r="25" customFormat="false" ht="15" hidden="false" customHeight="false" outlineLevel="0" collapsed="false">
      <c r="A25" s="12" t="s">
        <v>29</v>
      </c>
    </row>
    <row r="27" customFormat="false" ht="15" hidden="false" customHeight="false" outlineLevel="0" collapsed="false">
      <c r="A27" s="3" t="s">
        <v>30</v>
      </c>
    </row>
    <row r="28" customFormat="false" ht="15" hidden="false" customHeight="false" outlineLevel="0" collapsed="false">
      <c r="A28" s="4" t="s">
        <v>3</v>
      </c>
      <c r="B28" s="5" t="n">
        <v>30000</v>
      </c>
    </row>
    <row r="29" customFormat="false" ht="15" hidden="false" customHeight="false" outlineLevel="0" collapsed="false">
      <c r="A29" s="6" t="s">
        <v>4</v>
      </c>
      <c r="B29" s="6" t="s">
        <v>5</v>
      </c>
      <c r="C29" s="6" t="s">
        <v>6</v>
      </c>
      <c r="D29" s="6" t="s">
        <v>7</v>
      </c>
    </row>
    <row r="30" customFormat="false" ht="15" hidden="false" customHeight="false" outlineLevel="0" collapsed="false">
      <c r="A30" s="7" t="s">
        <v>31</v>
      </c>
      <c r="B30" s="8" t="n">
        <v>0.35</v>
      </c>
      <c r="C30" s="9" t="n">
        <f aca="false">$B$28*B30</f>
        <v>10500</v>
      </c>
      <c r="D30" s="7" t="s">
        <v>32</v>
      </c>
    </row>
    <row r="31" customFormat="false" ht="15" hidden="false" customHeight="false" outlineLevel="0" collapsed="false">
      <c r="A31" s="7" t="s">
        <v>33</v>
      </c>
      <c r="B31" s="8" t="n">
        <v>0.25</v>
      </c>
      <c r="C31" s="9" t="n">
        <f aca="false">$B$28*B31</f>
        <v>7500</v>
      </c>
      <c r="D31" s="7" t="s">
        <v>9</v>
      </c>
    </row>
    <row r="32" customFormat="false" ht="15" hidden="false" customHeight="false" outlineLevel="0" collapsed="false">
      <c r="A32" s="7" t="s">
        <v>34</v>
      </c>
      <c r="B32" s="8" t="n">
        <v>0.25</v>
      </c>
      <c r="C32" s="9" t="n">
        <f aca="false">$B$28*B32</f>
        <v>7500</v>
      </c>
      <c r="D32" s="7" t="s">
        <v>35</v>
      </c>
    </row>
    <row r="33" customFormat="false" ht="15" hidden="false" customHeight="false" outlineLevel="0" collapsed="false">
      <c r="A33" s="7" t="s">
        <v>36</v>
      </c>
      <c r="B33" s="8" t="n">
        <v>0.15</v>
      </c>
      <c r="C33" s="9" t="n">
        <f aca="false">$B$28*B33</f>
        <v>4500</v>
      </c>
      <c r="D33" s="7" t="s">
        <v>37</v>
      </c>
    </row>
    <row r="34" customFormat="false" ht="15" hidden="false" customHeight="false" outlineLevel="0" collapsed="false">
      <c r="A34" s="4" t="s">
        <v>18</v>
      </c>
      <c r="B34" s="10" t="n">
        <f aca="false">SUM(B30:B33)</f>
        <v>1</v>
      </c>
      <c r="C34" s="11" t="n">
        <f aca="false">SUM(C30:C33)</f>
        <v>30000</v>
      </c>
      <c r="D34" s="4" t="str">
        <f aca="false">IF(ROUND(B34,4)=1,"OK - shares add to 100%","CHECK - shares must add to 100%")</f>
        <v>OK - shares add to 100%</v>
      </c>
    </row>
    <row r="35" customFormat="false" ht="15" hidden="false" customHeight="false" outlineLevel="0" collapsed="false">
      <c r="A35" s="12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4" min="4" style="0" width="30"/>
    <col collapsed="false" customWidth="true" hidden="false" outlineLevel="0" max="5" min="5" style="0" width="42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6" t="s">
        <v>39</v>
      </c>
      <c r="B1" s="6" t="s">
        <v>40</v>
      </c>
      <c r="C1" s="6" t="s">
        <v>41</v>
      </c>
      <c r="D1" s="6" t="s">
        <v>42</v>
      </c>
      <c r="E1" s="6" t="s">
        <v>43</v>
      </c>
      <c r="F1" s="6" t="s">
        <v>44</v>
      </c>
    </row>
    <row r="2" customFormat="false" ht="15" hidden="false" customHeight="false" outlineLevel="0" collapsed="false">
      <c r="A2" s="13" t="s">
        <v>45</v>
      </c>
      <c r="B2" s="13" t="s">
        <v>46</v>
      </c>
      <c r="C2" s="13" t="s">
        <v>47</v>
      </c>
      <c r="D2" s="13" t="s">
        <v>48</v>
      </c>
      <c r="E2" s="13" t="s">
        <v>49</v>
      </c>
      <c r="F2" s="13" t="s">
        <v>50</v>
      </c>
    </row>
    <row r="3" customFormat="false" ht="15" hidden="false" customHeight="false" outlineLevel="0" collapsed="false">
      <c r="A3" s="13" t="s">
        <v>51</v>
      </c>
      <c r="B3" s="13" t="s">
        <v>46</v>
      </c>
      <c r="C3" s="13" t="s">
        <v>52</v>
      </c>
      <c r="D3" s="13" t="s">
        <v>53</v>
      </c>
      <c r="E3" s="13" t="s">
        <v>54</v>
      </c>
      <c r="F3" s="13" t="s">
        <v>50</v>
      </c>
    </row>
    <row r="4" customFormat="false" ht="15" hidden="false" customHeight="false" outlineLevel="0" collapsed="false">
      <c r="A4" s="13" t="s">
        <v>55</v>
      </c>
      <c r="B4" s="13" t="s">
        <v>46</v>
      </c>
      <c r="C4" s="13" t="s">
        <v>56</v>
      </c>
      <c r="D4" s="13" t="s">
        <v>57</v>
      </c>
      <c r="E4" s="13" t="s">
        <v>58</v>
      </c>
      <c r="F4" s="13" t="s">
        <v>50</v>
      </c>
    </row>
    <row r="5" customFormat="false" ht="15" hidden="false" customHeight="false" outlineLevel="0" collapsed="false">
      <c r="A5" s="13" t="s">
        <v>59</v>
      </c>
      <c r="B5" s="13" t="s">
        <v>46</v>
      </c>
      <c r="C5" s="13" t="s">
        <v>60</v>
      </c>
      <c r="D5" s="13" t="s">
        <v>61</v>
      </c>
      <c r="E5" s="13" t="s">
        <v>62</v>
      </c>
      <c r="F5" s="13" t="s">
        <v>50</v>
      </c>
    </row>
    <row r="6" customFormat="false" ht="26.85" hidden="false" customHeight="false" outlineLevel="0" collapsed="false">
      <c r="A6" s="13" t="s">
        <v>63</v>
      </c>
      <c r="B6" s="13" t="s">
        <v>64</v>
      </c>
      <c r="C6" s="13" t="s">
        <v>65</v>
      </c>
      <c r="D6" s="13" t="s">
        <v>66</v>
      </c>
      <c r="E6" s="13" t="s">
        <v>67</v>
      </c>
      <c r="F6" s="13" t="s">
        <v>50</v>
      </c>
    </row>
    <row r="7" customFormat="false" ht="15" hidden="false" customHeight="false" outlineLevel="0" collapsed="false">
      <c r="A7" s="13" t="s">
        <v>68</v>
      </c>
      <c r="B7" s="13" t="s">
        <v>64</v>
      </c>
      <c r="C7" s="13" t="s">
        <v>69</v>
      </c>
      <c r="D7" s="13" t="s">
        <v>70</v>
      </c>
      <c r="E7" s="13" t="s">
        <v>71</v>
      </c>
      <c r="F7" s="13" t="s">
        <v>50</v>
      </c>
    </row>
    <row r="8" customFormat="false" ht="26.85" hidden="false" customHeight="false" outlineLevel="0" collapsed="false">
      <c r="A8" s="13" t="s">
        <v>72</v>
      </c>
      <c r="B8" s="13" t="s">
        <v>73</v>
      </c>
      <c r="C8" s="13" t="s">
        <v>74</v>
      </c>
      <c r="D8" s="13" t="s">
        <v>75</v>
      </c>
      <c r="E8" s="13" t="s">
        <v>76</v>
      </c>
      <c r="F8" s="13" t="s">
        <v>50</v>
      </c>
    </row>
    <row r="9" customFormat="false" ht="15" hidden="false" customHeight="false" outlineLevel="0" collapsed="false">
      <c r="A9" s="13" t="s">
        <v>77</v>
      </c>
      <c r="B9" s="13" t="s">
        <v>73</v>
      </c>
      <c r="C9" s="13" t="s">
        <v>78</v>
      </c>
      <c r="D9" s="13" t="s">
        <v>79</v>
      </c>
      <c r="E9" s="13" t="s">
        <v>80</v>
      </c>
      <c r="F9" s="13" t="s">
        <v>50</v>
      </c>
    </row>
    <row r="10" customFormat="false" ht="26.85" hidden="false" customHeight="false" outlineLevel="0" collapsed="false">
      <c r="A10" s="13" t="s">
        <v>81</v>
      </c>
      <c r="B10" s="13" t="s">
        <v>82</v>
      </c>
      <c r="C10" s="13" t="s">
        <v>83</v>
      </c>
      <c r="D10" s="13" t="s">
        <v>84</v>
      </c>
      <c r="E10" s="13" t="s">
        <v>85</v>
      </c>
      <c r="F10" s="13" t="s">
        <v>50</v>
      </c>
    </row>
    <row r="11" customFormat="false" ht="15" hidden="false" customHeight="false" outlineLevel="0" collapsed="false">
      <c r="A11" s="13" t="s">
        <v>86</v>
      </c>
      <c r="B11" s="13" t="s">
        <v>82</v>
      </c>
      <c r="C11" s="13" t="s">
        <v>87</v>
      </c>
      <c r="D11" s="13" t="s">
        <v>88</v>
      </c>
      <c r="E11" s="13" t="s">
        <v>89</v>
      </c>
      <c r="F11" s="13" t="s">
        <v>50</v>
      </c>
    </row>
    <row r="12" customFormat="false" ht="15" hidden="false" customHeight="false" outlineLevel="0" collapsed="false">
      <c r="A12" s="13" t="s">
        <v>90</v>
      </c>
      <c r="B12" s="13" t="s">
        <v>82</v>
      </c>
      <c r="C12" s="13" t="s">
        <v>91</v>
      </c>
      <c r="D12" s="13" t="s">
        <v>92</v>
      </c>
      <c r="E12" s="13" t="s">
        <v>93</v>
      </c>
      <c r="F12" s="13" t="s">
        <v>50</v>
      </c>
    </row>
    <row r="13" customFormat="false" ht="15" hidden="false" customHeight="false" outlineLevel="0" collapsed="false">
      <c r="A13" s="13" t="s">
        <v>94</v>
      </c>
      <c r="B13" s="13" t="s">
        <v>95</v>
      </c>
      <c r="C13" s="13" t="s">
        <v>96</v>
      </c>
      <c r="D13" s="13" t="s">
        <v>97</v>
      </c>
      <c r="E13" s="13" t="s">
        <v>98</v>
      </c>
      <c r="F13" s="13" t="s">
        <v>50</v>
      </c>
    </row>
    <row r="14" customFormat="false" ht="15" hidden="false" customHeight="false" outlineLevel="0" collapsed="false">
      <c r="A14" s="13" t="s">
        <v>99</v>
      </c>
      <c r="B14" s="13" t="s">
        <v>100</v>
      </c>
      <c r="C14" s="13" t="s">
        <v>101</v>
      </c>
      <c r="D14" s="13" t="s">
        <v>102</v>
      </c>
      <c r="E14" s="13" t="s">
        <v>103</v>
      </c>
      <c r="F14" s="13" t="s">
        <v>50</v>
      </c>
    </row>
    <row r="15" customFormat="false" ht="15" hidden="false" customHeight="false" outlineLevel="0" collapsed="false">
      <c r="A15" s="13" t="s">
        <v>104</v>
      </c>
      <c r="B15" s="13" t="s">
        <v>105</v>
      </c>
      <c r="C15" s="13" t="s">
        <v>106</v>
      </c>
      <c r="D15" s="13" t="s">
        <v>107</v>
      </c>
      <c r="E15" s="13" t="s">
        <v>108</v>
      </c>
      <c r="F15" s="13" t="s">
        <v>50</v>
      </c>
    </row>
    <row r="17" customFormat="false" ht="15" hidden="false" customHeight="false" outlineLevel="0" collapsed="false">
      <c r="A17" s="14" t="s">
        <v>109</v>
      </c>
      <c r="B17" s="15" t="n">
        <f aca="false">COUNTIF(F2:F15,"Pass")</f>
        <v>0</v>
      </c>
    </row>
    <row r="18" customFormat="false" ht="15" hidden="false" customHeight="false" outlineLevel="0" collapsed="false">
      <c r="A18" s="14" t="s">
        <v>18</v>
      </c>
      <c r="B18" s="15" t="n">
        <f aca="false">COUNTA(A2:A15)</f>
        <v>14</v>
      </c>
    </row>
    <row r="19" customFormat="false" ht="15" hidden="false" customHeight="false" outlineLevel="0" collapsed="false">
      <c r="A19" s="14" t="s">
        <v>110</v>
      </c>
      <c r="B19" s="16" t="n">
        <f aca="false">IF(B18=0,0,B17/B18)</f>
        <v>0</v>
      </c>
    </row>
    <row r="20" customFormat="false" ht="15" hidden="false" customHeight="false" outlineLevel="0" collapsed="false">
      <c r="A20" s="12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4" t="s">
        <v>112</v>
      </c>
      <c r="B1" s="17" t="n">
        <v>1</v>
      </c>
    </row>
    <row r="3" customFormat="false" ht="15" hidden="false" customHeight="false" outlineLevel="0" collapsed="false">
      <c r="A3" s="6" t="s">
        <v>113</v>
      </c>
      <c r="B3" s="6" t="s">
        <v>114</v>
      </c>
      <c r="C3" s="6" t="s">
        <v>115</v>
      </c>
      <c r="D3" s="6" t="s">
        <v>116</v>
      </c>
      <c r="E3" s="6" t="s">
        <v>117</v>
      </c>
    </row>
    <row r="4" customFormat="false" ht="15" hidden="false" customHeight="false" outlineLevel="0" collapsed="false">
      <c r="A4" s="7" t="s">
        <v>118</v>
      </c>
      <c r="B4" s="18" t="s">
        <v>119</v>
      </c>
      <c r="C4" s="7" t="n">
        <f aca="false">$B$1+0</f>
        <v>1</v>
      </c>
      <c r="D4" s="19" t="n">
        <v>1</v>
      </c>
      <c r="E4" s="7" t="n">
        <f aca="false">C4+D4-1</f>
        <v>1</v>
      </c>
    </row>
    <row r="5" customFormat="false" ht="15" hidden="false" customHeight="false" outlineLevel="0" collapsed="false">
      <c r="A5" s="7" t="s">
        <v>120</v>
      </c>
      <c r="B5" s="18" t="s">
        <v>121</v>
      </c>
      <c r="C5" s="7" t="n">
        <f aca="false">$B$1+1</f>
        <v>2</v>
      </c>
      <c r="D5" s="19" t="n">
        <v>1</v>
      </c>
      <c r="E5" s="7" t="n">
        <f aca="false">C5+D5-1</f>
        <v>2</v>
      </c>
    </row>
    <row r="6" customFormat="false" ht="15" hidden="false" customHeight="false" outlineLevel="0" collapsed="false">
      <c r="A6" s="7" t="s">
        <v>122</v>
      </c>
      <c r="B6" s="18" t="s">
        <v>123</v>
      </c>
      <c r="C6" s="7" t="n">
        <f aca="false">$B$1+2</f>
        <v>3</v>
      </c>
      <c r="D6" s="19" t="n">
        <v>1</v>
      </c>
      <c r="E6" s="7" t="n">
        <f aca="false">C6+D6-1</f>
        <v>3</v>
      </c>
    </row>
    <row r="7" customFormat="false" ht="15" hidden="false" customHeight="false" outlineLevel="0" collapsed="false">
      <c r="A7" s="7" t="s">
        <v>122</v>
      </c>
      <c r="B7" s="18" t="s">
        <v>124</v>
      </c>
      <c r="C7" s="7" t="n">
        <f aca="false">$B$1+3</f>
        <v>4</v>
      </c>
      <c r="D7" s="19" t="n">
        <v>1</v>
      </c>
      <c r="E7" s="7" t="n">
        <f aca="false">C7+D7-1</f>
        <v>4</v>
      </c>
    </row>
    <row r="8" customFormat="false" ht="15" hidden="false" customHeight="false" outlineLevel="0" collapsed="false">
      <c r="A8" s="7" t="s">
        <v>122</v>
      </c>
      <c r="B8" s="18" t="s">
        <v>125</v>
      </c>
      <c r="C8" s="7" t="n">
        <f aca="false">$B$1+4</f>
        <v>5</v>
      </c>
      <c r="D8" s="19" t="n">
        <v>1</v>
      </c>
      <c r="E8" s="7" t="n">
        <f aca="false">C8+D8-1</f>
        <v>5</v>
      </c>
    </row>
    <row r="9" customFormat="false" ht="15" hidden="false" customHeight="false" outlineLevel="0" collapsed="false">
      <c r="A9" s="7" t="s">
        <v>122</v>
      </c>
      <c r="B9" s="18" t="s">
        <v>126</v>
      </c>
      <c r="C9" s="7" t="n">
        <f aca="false">$B$1+5</f>
        <v>6</v>
      </c>
      <c r="D9" s="19" t="n">
        <v>2</v>
      </c>
      <c r="E9" s="7" t="n">
        <f aca="false">C9+D9-1</f>
        <v>7</v>
      </c>
    </row>
    <row r="10" customFormat="false" ht="15" hidden="false" customHeight="false" outlineLevel="0" collapsed="false">
      <c r="A10" s="7" t="s">
        <v>127</v>
      </c>
      <c r="B10" s="18" t="s">
        <v>128</v>
      </c>
      <c r="C10" s="7" t="n">
        <f aca="false">$B$1+7</f>
        <v>8</v>
      </c>
      <c r="D10" s="19" t="n">
        <v>1</v>
      </c>
      <c r="E10" s="7" t="n">
        <f aca="false">C10+D10-1</f>
        <v>8</v>
      </c>
    </row>
    <row r="11" customFormat="false" ht="15" hidden="false" customHeight="false" outlineLevel="0" collapsed="false">
      <c r="A11" s="7" t="s">
        <v>129</v>
      </c>
      <c r="B11" s="18" t="s">
        <v>130</v>
      </c>
      <c r="C11" s="7" t="n">
        <f aca="false">$B$1+8</f>
        <v>9</v>
      </c>
      <c r="D11" s="19" t="n">
        <v>1</v>
      </c>
      <c r="E11" s="7" t="n">
        <f aca="false">C11+D11-1</f>
        <v>9</v>
      </c>
    </row>
    <row r="12" customFormat="false" ht="15" hidden="false" customHeight="false" outlineLevel="0" collapsed="false">
      <c r="A12" s="7" t="s">
        <v>131</v>
      </c>
      <c r="B12" s="18" t="s">
        <v>132</v>
      </c>
      <c r="C12" s="7" t="n">
        <f aca="false">$B$1+9</f>
        <v>10</v>
      </c>
      <c r="D12" s="19" t="n">
        <v>1</v>
      </c>
      <c r="E12" s="7" t="n">
        <f aca="false">C12+D12-1</f>
        <v>10</v>
      </c>
    </row>
    <row r="14" customFormat="false" ht="15" hidden="false" customHeight="false" outlineLevel="0" collapsed="false">
      <c r="A14" s="4" t="s">
        <v>133</v>
      </c>
      <c r="B14" s="4" t="n">
        <f aca="false">MAX(E4:E12)-$B$1+1</f>
        <v>10</v>
      </c>
    </row>
    <row r="15" customFormat="false" ht="15" hidden="false" customHeight="false" outlineLevel="0" collapsed="false">
      <c r="A15" s="12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50"/>
  </cols>
  <sheetData>
    <row r="1" customFormat="false" ht="15" hidden="false" customHeight="false" outlineLevel="0" collapsed="false">
      <c r="A1" s="6" t="s">
        <v>135</v>
      </c>
      <c r="B1" s="6" t="s">
        <v>136</v>
      </c>
      <c r="C1" s="6" t="s">
        <v>137</v>
      </c>
    </row>
    <row r="2" customFormat="false" ht="15" hidden="false" customHeight="false" outlineLevel="0" collapsed="false">
      <c r="A2" s="13" t="s">
        <v>138</v>
      </c>
      <c r="B2" s="13" t="s">
        <v>139</v>
      </c>
      <c r="C2" s="13" t="s">
        <v>140</v>
      </c>
    </row>
    <row r="3" customFormat="false" ht="15" hidden="false" customHeight="false" outlineLevel="0" collapsed="false">
      <c r="A3" s="13" t="s">
        <v>100</v>
      </c>
      <c r="B3" s="13" t="s">
        <v>141</v>
      </c>
      <c r="C3" s="13" t="s">
        <v>142</v>
      </c>
    </row>
    <row r="4" customFormat="false" ht="15" hidden="false" customHeight="false" outlineLevel="0" collapsed="false">
      <c r="A4" s="13" t="s">
        <v>143</v>
      </c>
      <c r="B4" s="13" t="s">
        <v>144</v>
      </c>
      <c r="C4" s="13" t="s">
        <v>145</v>
      </c>
    </row>
    <row r="5" customFormat="false" ht="15" hidden="false" customHeight="false" outlineLevel="0" collapsed="false">
      <c r="A5" s="13" t="s">
        <v>146</v>
      </c>
      <c r="B5" s="13" t="s">
        <v>147</v>
      </c>
      <c r="C5" s="13" t="s">
        <v>148</v>
      </c>
    </row>
    <row r="6" customFormat="false" ht="15" hidden="false" customHeight="false" outlineLevel="0" collapsed="false">
      <c r="A6" s="13" t="s">
        <v>105</v>
      </c>
      <c r="B6" s="13" t="s">
        <v>149</v>
      </c>
      <c r="C6" s="13" t="s">
        <v>150</v>
      </c>
    </row>
    <row r="7" customFormat="false" ht="15" hidden="false" customHeight="false" outlineLevel="0" collapsed="false">
      <c r="A7" s="13" t="s">
        <v>151</v>
      </c>
      <c r="B7" s="13" t="s">
        <v>152</v>
      </c>
      <c r="C7" s="13" t="s">
        <v>153</v>
      </c>
    </row>
    <row r="8" customFormat="false" ht="15" hidden="false" customHeight="false" outlineLevel="0" collapsed="false">
      <c r="A8" s="13" t="s">
        <v>154</v>
      </c>
      <c r="B8" s="13" t="s">
        <v>155</v>
      </c>
      <c r="C8" s="13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2026-09-30T06:47:03Z</dcterms:created>
  <dc:creator>openpyxl</dc:creator>
  <dc:description/>
  <dc:language>en-US</dc:language>
  <cp:lastModifiedBy/>
  <dcterms:modified xsi:type="dcterms:W3CDTF">2026-09-30T06:47:03Z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